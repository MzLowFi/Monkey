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82690847949\Downloads\orcamento-pessoas\"/>
    </mc:Choice>
  </mc:AlternateContent>
  <xr:revisionPtr revIDLastSave="0" documentId="13_ncr:1_{A37919EE-E815-48D2-AD95-7EB8417CE941}" xr6:coauthVersionLast="47" xr6:coauthVersionMax="47" xr10:uidLastSave="{00000000-0000-0000-0000-000000000000}"/>
  <bookViews>
    <workbookView xWindow="-120" yWindow="-120" windowWidth="20730" windowHeight="11160" tabRatio="500" activeTab="5" xr2:uid="{00000000-000D-0000-FFFF-FFFF00000000}"/>
  </bookViews>
  <sheets>
    <sheet name="Instruções" sheetId="1" r:id="rId1"/>
    <sheet name="Parâmetros Encargos" sheetId="2" r:id="rId2"/>
    <sheet name="HeadCount" sheetId="3" r:id="rId3"/>
    <sheet name="Promoções" sheetId="4" r:id="rId4"/>
    <sheet name="Adequações Salariais" sheetId="5" r:id="rId5"/>
    <sheet name="Aumento de Quadro" sheetId="6" r:id="rId6"/>
  </sheets>
  <definedNames>
    <definedName name="PCT_INSALUBRIDADE">HeadCount!$AF$9</definedName>
    <definedName name="PCT_PERICULOSIDADE">HeadCount!$AF$10</definedName>
    <definedName name="SALARIO_MINIMO">HeadCount!$AF$8</definedName>
    <definedName name="TOTAL_ENCARGOS_PCT">'Parâmetros Encargos'!$D$14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4" l="1"/>
  <c r="G7" i="5"/>
  <c r="J7" i="5" s="1"/>
  <c r="F7" i="5"/>
  <c r="E7" i="5"/>
  <c r="D7" i="5"/>
  <c r="C7" i="5"/>
  <c r="G7" i="4"/>
  <c r="K7" i="4" s="1"/>
  <c r="F7" i="4"/>
  <c r="E7" i="4"/>
  <c r="D7" i="4"/>
  <c r="AH7" i="3"/>
  <c r="AG7" i="3"/>
  <c r="M7" i="3"/>
  <c r="N7" i="3" s="1"/>
  <c r="K7" i="3"/>
  <c r="AH6" i="3"/>
  <c r="AG6" i="3"/>
  <c r="M6" i="3"/>
  <c r="N6" i="3" s="1"/>
  <c r="K6" i="3"/>
  <c r="AH5" i="3"/>
  <c r="AG5" i="3"/>
  <c r="M5" i="3"/>
  <c r="N5" i="3" s="1"/>
  <c r="K5" i="3"/>
  <c r="D14" i="2"/>
  <c r="M7" i="6" s="1"/>
  <c r="I7" i="5" l="1"/>
  <c r="J7" i="4"/>
</calcChain>
</file>

<file path=xl/sharedStrings.xml><?xml version="1.0" encoding="utf-8"?>
<sst xmlns="http://schemas.openxmlformats.org/spreadsheetml/2006/main" count="177" uniqueCount="139">
  <si>
    <t>Este template consolida a estrutura discutida: base de headcount de agosto/2026 com hierarquia Gerente &gt; Diretor &gt; VP, cálculo automático de Triênio/Anuênio, campos de Insalubridade/Periculosidade/Gratificação para revisão manual da área, e uma tabela de parâmetros de encargos e benefícios (exemplo, a validar).</t>
  </si>
  <si>
    <t>Aba</t>
  </si>
  <si>
    <t>O que contém</t>
  </si>
  <si>
    <t>Cor / convenção</t>
  </si>
  <si>
    <t>HeadCount</t>
  </si>
  <si>
    <t>Base de colaboradores + hierarquia (Gerente/Diretor/VP) + cálculo de Triênio e Anuênio</t>
  </si>
  <si>
    <t>Azul = editável pelo gestor · Preto = fórmula</t>
  </si>
  <si>
    <t>Parâmetros Encargos</t>
  </si>
  <si>
    <t>Tabela de encargos e benefícios (EXEMPLO — validar com Financeiro/RH)</t>
  </si>
  <si>
    <t>Amarelo = premissa a confirmar</t>
  </si>
  <si>
    <t>Promoções</t>
  </si>
  <si>
    <t>Intenção de promoção — busca pelo CÓD. DO FUNCIONÁRIO (não mais pelo nome)</t>
  </si>
  <si>
    <t>Verde = link para outra aba</t>
  </si>
  <si>
    <t>Adequações Salariais</t>
  </si>
  <si>
    <t>Intenção de ajuste salarial — mesma lógica de busca por código</t>
  </si>
  <si>
    <t>Aumento de Quadro</t>
  </si>
  <si>
    <t>Solicitação de novas posições, com cálculo de encargos pela tabela de parâmetros</t>
  </si>
  <si>
    <t>Azul = editável</t>
  </si>
  <si>
    <t>Pontos ainda em aberto (marcados como [A CONFIRMAR] neste arquivo): taxas reais de encargos/benefícios, regra de automação de Insalubridade/Periculosidade/Gratificação, e validação da hierarquia Gerente→Diretor→VP (ver aba HeadCount, linha de exemplo com observação).</t>
  </si>
  <si>
    <t>Parâmetros de Encargos e Benefícios — EXEMPLO, validar com Financeiro/RH</t>
  </si>
  <si>
    <t>Parâmetro</t>
  </si>
  <si>
    <t>Base de cálculo</t>
  </si>
  <si>
    <t>% ou valor (exemplo)</t>
  </si>
  <si>
    <t>Observação</t>
  </si>
  <si>
    <t>INSS Patronal</t>
  </si>
  <si>
    <t>% sobre salário + adicionais</t>
  </si>
  <si>
    <t>Alíquota padrão CLT — confirmar enquadramento (Simples/Lucro Real) [A CONFIRMAR]</t>
  </si>
  <si>
    <t>RAT/SAT (ajustado por FAP)</t>
  </si>
  <si>
    <t>Varia por CNAE e FAP da unidade — exemplo genérico [A CONFIRMAR]</t>
  </si>
  <si>
    <t>Sistema S (Sesc/Senac/Senai etc.)</t>
  </si>
  <si>
    <t>Depende do CNAE — exemplo [A CONFIRMAR]</t>
  </si>
  <si>
    <t>FGTS</t>
  </si>
  <si>
    <t>Padrão CLT</t>
  </si>
  <si>
    <t>13º Salário (provisão mensal)</t>
  </si>
  <si>
    <t>1/12 avos</t>
  </si>
  <si>
    <t>INSS s/ 13º</t>
  </si>
  <si>
    <t>FGTS s/ 13º</t>
  </si>
  <si>
    <t>Férias + 1/3 (provisão mensal)</t>
  </si>
  <si>
    <t>1/12 avos + 1/3 sobre o 1/12</t>
  </si>
  <si>
    <t>Provisão Multa Rescisória</t>
  </si>
  <si>
    <t>Todos os valores acima são EXEMPLO ilustrativo, não são os parâmetros reais da Vitru. Substituir pelos valores confirmados com Financeiro/RH antes de usar este template para decisão de orçamento.</t>
  </si>
  <si>
    <t>Célula D14 = soma de todos os encargos acima (% total sobre salário + adicionais). Esse total é usado em Promoções, Adequações Salariais e Aumento de Quadro via o nome definido TOTAL_ENCARGOS_PCT. Benefícios fixos por colaborador (VT, VR/VA, Saúde, Odontológico, Seguro de Vida) foram removidos do modelo de custo por decisão do time nesta versão.</t>
  </si>
  <si>
    <t>Orçamento 2027 - Headcount (base 08/2026)</t>
  </si>
  <si>
    <t>COLIGADA</t>
  </si>
  <si>
    <t>CÓD. UNIDADE</t>
  </si>
  <si>
    <t>UNIDADE</t>
  </si>
  <si>
    <t>CÓD. CC</t>
  </si>
  <si>
    <t>DESCRIÇÃO CC</t>
  </si>
  <si>
    <t>CÓD. FUNCIONÁRIO</t>
  </si>
  <si>
    <t>NOME DO FUNCIONÁRIO</t>
  </si>
  <si>
    <t>CARGO</t>
  </si>
  <si>
    <t>DATA DE ADMISSÃO</t>
  </si>
  <si>
    <t>TEMPO DE SERVIÇO (anos)</t>
  </si>
  <si>
    <t>SALÁRIO</t>
  </si>
  <si>
    <t>TRIÊNIO %</t>
  </si>
  <si>
    <t>TRIÊNIO (calc.)</t>
  </si>
  <si>
    <t>ANUÊNIO (pré-preenchido da folha)</t>
  </si>
  <si>
    <t>AJUDA DE CUSTO</t>
  </si>
  <si>
    <t>ADIC. TITULAÇÃO</t>
  </si>
  <si>
    <t>INSALUBRIDADE? (1=sim / 0=não)</t>
  </si>
  <si>
    <t>PERICULOSIDADE? (1=sim / 0=não)</t>
  </si>
  <si>
    <t>GRATIFICAÇÃO (revisar área)</t>
  </si>
  <si>
    <t>OBSERVAÇÃO</t>
  </si>
  <si>
    <t>AJUSTES (INCLUSÃO/EXCLUSÃO)</t>
  </si>
  <si>
    <t>GERENTE E-MAIL</t>
  </si>
  <si>
    <t>DIRETOR E-MAIL</t>
  </si>
  <si>
    <t>VP E-MAIL</t>
  </si>
  <si>
    <t>PARÂMETROS TRIÊNIO</t>
  </si>
  <si>
    <t>INSALUBRIDADE (calc. R$)</t>
  </si>
  <si>
    <t>PERICULOSIDADE (calc. R$)</t>
  </si>
  <si>
    <t>CAMPUS EXEMPLO - MATRIZ</t>
  </si>
  <si>
    <t>EXEMPLO - SETOR ADMINISTRATIVO</t>
  </si>
  <si>
    <t>[Exemplo] Colaborador A</t>
  </si>
  <si>
    <t>ANALISTA ADMINISTRATIVO</t>
  </si>
  <si>
    <t>gerente_exemplo_a@vitru.com.br</t>
  </si>
  <si>
    <t>diretor_exemplo_a@vitru.com.br</t>
  </si>
  <si>
    <t>vp_exemplo@vitru.com.br</t>
  </si>
  <si>
    <t>% por Triênio (a cada 3 anos)</t>
  </si>
  <si>
    <t>[Exemplo] Colaborador B</t>
  </si>
  <si>
    <t>AUXILIAR DE SERVIÇOS GERAIS</t>
  </si>
  <si>
    <t>Insalubridade sinalizada p/ revisão da área</t>
  </si>
  <si>
    <t>Teto (nº máx. de triênios)</t>
  </si>
  <si>
    <t>EXEMPLO - SEGURANÇA E PORTARIA</t>
  </si>
  <si>
    <t>[Exemplo] Colaborador C</t>
  </si>
  <si>
    <t>SUPERVISOR DE SEGURANÇA</t>
  </si>
  <si>
    <t>Periculosidade sinalizada p/ revisão da área</t>
  </si>
  <si>
    <t>gerente_exemplo_b@vitru.com.br</t>
  </si>
  <si>
    <t>Data-base (tempo de serviço)</t>
  </si>
  <si>
    <t>Salário Mínimo (referência p/ Insalubridade)</t>
  </si>
  <si>
    <t>Triênio calculado com teto de 7 triênios, considerando data de admissão até 31/12/2027 (parâmetros em AA5:AB7). Anuênio NÃO é calculado — é um campo pré-preenchido com o valor já existente na folha de agosto/2026, levado como está para o orçado. Insalubridade = 40% do salário mínimo (se marcado 1); Periculosidade = 30% do salário base (se marcado 1) — parâmetros em AA8:AB10. Gratificação continua manual, sem regra de cálculo definida.</t>
  </si>
  <si>
    <t>% Insalubridade sobre salário mínimo</t>
  </si>
  <si>
    <t>% Periculosidade sobre salário base</t>
  </si>
  <si>
    <t>Nota de dados pessoais: os colaboradores acima são EXEMPLOS fictícios para ilustrar a estrutura. A base real de ~490 colaboradores permanece apenas no arquivo original de vocês — este template não reproduz remuneração individual real.</t>
  </si>
  <si>
    <t>Achado a validar: no arquivo de e-mails que vocês enviaram, um mesmo gerente aparecia vinculado a mais de um diretor em linhas diferentes. Antes de abrir o ciclo de orçamento, a área de Orçamento de Gente precisa revisar essa hierarquia (ver decisão de 'tela de conferência de estrutura').</t>
  </si>
  <si>
    <t>Orçamento 2027 - Promoções</t>
  </si>
  <si>
    <t>Orientações: selecionar o CÓD. DO FUNCIONÁRIO (não o nome) — os demais campos vêm automaticamente da aba HeadCount. Informar cargo destino, salário destino, mês e justificativa.</t>
  </si>
  <si>
    <t>NOME (auto)</t>
  </si>
  <si>
    <t>UNIDADE (auto)</t>
  </si>
  <si>
    <t>CC (auto)</t>
  </si>
  <si>
    <t>CARGO ATUAL (auto)</t>
  </si>
  <si>
    <t>SALÁRIO ATUAL (auto)</t>
  </si>
  <si>
    <t>CARGO DESTINO</t>
  </si>
  <si>
    <t>SALÁRIO DESTINO</t>
  </si>
  <si>
    <t>% DE AJUSTE (calc.)</t>
  </si>
  <si>
    <t>ENCARGOS s/ AUMENTO (calc.)</t>
  </si>
  <si>
    <t>MÊS PREVISTO</t>
  </si>
  <si>
    <t>REFORMULAÇÃO DE ÁREA?</t>
  </si>
  <si>
    <t>JUSTIFICATIVA</t>
  </si>
  <si>
    <t>Jan/2027</t>
  </si>
  <si>
    <t>Não</t>
  </si>
  <si>
    <t>Mérito por desempenho no ciclo 2026</t>
  </si>
  <si>
    <t>Coluna 'Encargos s/ Aumento' calcula o custo adicional de encargos gerado só pelo aumento salarial, usando os parâmetros da aba 'Parâmetros Encargos' (INSS+RAT+Sistema S+FGTS+13º+Férias). Não inclui VT/VR/VA/Saúde, que não variam com o salário.</t>
  </si>
  <si>
    <t>Orçamento 2027 - Adequações Salariais</t>
  </si>
  <si>
    <t>Orientações: selecionar o CÓD. DO FUNCIONÁRIO — os demais campos vêm automaticamente da aba HeadCount. Mesmo cargo, apenas ajuste de salário.</t>
  </si>
  <si>
    <t>CARGO (auto)</t>
  </si>
  <si>
    <t>Mar/2027</t>
  </si>
  <si>
    <t>Equiparação salarial à média de mercado do cargo</t>
  </si>
  <si>
    <t>Orçamento 2027 - Aumento de Quadro</t>
  </si>
  <si>
    <t>Orientações: incluir solicitações de novas posições. O custo total (salário + encargos + benefícios) é calculado automaticamente pela tabela de parâmetros.</t>
  </si>
  <si>
    <t>CC</t>
  </si>
  <si>
    <t>CARGO/FUNÇÃO</t>
  </si>
  <si>
    <t>GERENTE RESPONSÁVEL (auto p/ e-mail)</t>
  </si>
  <si>
    <t>MÊS DE INÍCIO</t>
  </si>
  <si>
    <t>QUANTIDADE</t>
  </si>
  <si>
    <t>SALÁRIO PROPOSTO</t>
  </si>
  <si>
    <t>HAVERÁ INSALUB./PERICUL.?</t>
  </si>
  <si>
    <t>VALOR/% ADICIONAL</t>
  </si>
  <si>
    <t>CUSTO TOTAL MENSAL (calc.)</t>
  </si>
  <si>
    <t>VAGA AFIRMATIVA PCD?</t>
  </si>
  <si>
    <t>ASSISTENTE ADMINISTRATIVO</t>
  </si>
  <si>
    <t>Fev/2027</t>
  </si>
  <si>
    <t>Substituição de posição enxugada em reestruturação de 2025</t>
  </si>
  <si>
    <t>Custo Total Mensal (calc.) = (Salário + Adicional) x (1 + % total de encargos da aba Parâmetros Encargos). Benefícios fixos por colaborador (VT, VR/VA, Saúde, Odontológico, Seguro de Vida) foram removidos do cálculo por decisão do time — não estão sendo projetados nesta versão.</t>
  </si>
  <si>
    <t>Orçamento 2027 - Headcount · Template consolidado (base para protótipo)</t>
  </si>
  <si>
    <t>% Uniasselvi</t>
  </si>
  <si>
    <t>% Unicesumar</t>
  </si>
  <si>
    <t>% Operações Próprias</t>
  </si>
  <si>
    <t>% Operações Parceiras</t>
  </si>
  <si>
    <t>COORDENADOR DE SEGURANÇA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</si>
</sst>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16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9"/>
      <color rgb="FF808080"/>
      <name val="Arial"/>
      <charset val="1"/>
    </font>
    <font>
      <sz val="11"/>
      <color rgb="FF0000FF"/>
      <name val="Arial"/>
      <charset val="1"/>
    </font>
    <font>
      <sz val="10"/>
      <color theme="1"/>
      <name val="Calibri"/>
      <family val="2"/>
      <charset val="1"/>
    </font>
    <font>
      <b/>
      <sz val="10"/>
      <color rgb="FF1F386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Calibri"/>
      <family val="2"/>
      <charset val="1"/>
    </font>
    <font>
      <sz val="10"/>
      <color rgb="FF0000FF"/>
      <name val="Arial"/>
      <family val="2"/>
      <charset val="1"/>
    </font>
    <font>
      <sz val="10"/>
      <color rgb="FF0000FF"/>
      <name val="Calibri"/>
      <family val="2"/>
      <charset val="1"/>
    </font>
    <font>
      <i/>
      <sz val="10"/>
      <color rgb="FF808080"/>
      <name val="Arial"/>
      <family val="2"/>
      <charset val="1"/>
    </font>
    <font>
      <i/>
      <sz val="10"/>
      <name val="Arial"/>
      <charset val="1"/>
    </font>
    <font>
      <sz val="11"/>
      <color rgb="FF008000"/>
      <name val="Arial"/>
      <charset val="1"/>
    </font>
    <font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9696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3" fillId="0" borderId="0" xfId="0" applyFont="1"/>
    <xf numFmtId="0" fontId="12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10" fontId="5" fillId="3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0" fontId="0" fillId="0" borderId="0" xfId="0" applyNumberForma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0" borderId="1" xfId="0" applyFont="1" applyBorder="1"/>
    <xf numFmtId="4" fontId="6" fillId="0" borderId="1" xfId="0" applyNumberFormat="1" applyFont="1" applyBorder="1"/>
    <xf numFmtId="9" fontId="10" fillId="3" borderId="1" xfId="0" applyNumberFormat="1" applyFont="1" applyFill="1" applyBorder="1"/>
    <xf numFmtId="4" fontId="5" fillId="3" borderId="1" xfId="0" applyNumberFormat="1" applyFont="1" applyFill="1" applyBorder="1"/>
    <xf numFmtId="0" fontId="10" fillId="3" borderId="1" xfId="0" applyFont="1" applyFill="1" applyBorder="1"/>
    <xf numFmtId="165" fontId="11" fillId="0" borderId="0" xfId="0" applyNumberFormat="1" applyFont="1" applyAlignment="1">
      <alignment horizontal="center"/>
    </xf>
    <xf numFmtId="4" fontId="0" fillId="0" borderId="0" xfId="0" applyNumberFormat="1"/>
    <xf numFmtId="1" fontId="11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4" fontId="5" fillId="3" borderId="0" xfId="0" applyNumberFormat="1" applyFont="1" applyFill="1"/>
    <xf numFmtId="9" fontId="0" fillId="0" borderId="0" xfId="0" applyNumberFormat="1"/>
    <xf numFmtId="0" fontId="5" fillId="3" borderId="1" xfId="0" applyFont="1" applyFill="1" applyBorder="1"/>
    <xf numFmtId="0" fontId="14" fillId="0" borderId="1" xfId="0" applyFont="1" applyBorder="1"/>
    <xf numFmtId="4" fontId="14" fillId="0" borderId="1" xfId="0" applyNumberFormat="1" applyFont="1" applyBorder="1"/>
    <xf numFmtId="165" fontId="0" fillId="0" borderId="1" xfId="0" applyNumberFormat="1" applyBorder="1"/>
    <xf numFmtId="4" fontId="0" fillId="0" borderId="1" xfId="0" applyNumberFormat="1" applyBorder="1"/>
    <xf numFmtId="4" fontId="15" fillId="0" borderId="1" xfId="0" applyNumberFormat="1" applyFont="1" applyBorder="1"/>
    <xf numFmtId="14" fontId="6" fillId="0" borderId="1" xfId="0" applyNumberFormat="1" applyFont="1" applyBorder="1"/>
    <xf numFmtId="0" fontId="6" fillId="0" borderId="1" xfId="0" applyNumberFormat="1" applyFont="1" applyBorder="1"/>
    <xf numFmtId="0" fontId="5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4"/>
  <sheetViews>
    <sheetView showGridLines="0" topLeftCell="A4" zoomScaleNormal="100" workbookViewId="0">
      <selection activeCell="B3" sqref="B3"/>
    </sheetView>
  </sheetViews>
  <sheetFormatPr defaultColWidth="8.7109375" defaultRowHeight="15" x14ac:dyDescent="0.25"/>
  <cols>
    <col min="1" max="1" width="3" customWidth="1"/>
    <col min="2" max="2" width="22" customWidth="1"/>
    <col min="3" max="3" width="55" customWidth="1"/>
    <col min="4" max="4" width="40" customWidth="1"/>
  </cols>
  <sheetData>
    <row r="2" spans="2:8" ht="18" customHeight="1" x14ac:dyDescent="0.25">
      <c r="B2" s="7" t="s">
        <v>133</v>
      </c>
    </row>
    <row r="4" spans="2:8" ht="60" customHeight="1" x14ac:dyDescent="0.25">
      <c r="B4" s="6" t="s">
        <v>0</v>
      </c>
      <c r="C4" s="6"/>
      <c r="D4" s="6"/>
      <c r="E4" s="6"/>
      <c r="F4" s="6"/>
      <c r="G4" s="6"/>
      <c r="H4" s="6"/>
    </row>
    <row r="7" spans="2:8" ht="15" customHeight="1" x14ac:dyDescent="0.25">
      <c r="B7" s="8" t="s">
        <v>1</v>
      </c>
      <c r="C7" s="8" t="s">
        <v>2</v>
      </c>
      <c r="D7" s="8" t="s">
        <v>3</v>
      </c>
    </row>
    <row r="8" spans="2:8" ht="25.5" customHeight="1" x14ac:dyDescent="0.25">
      <c r="B8" s="9" t="s">
        <v>4</v>
      </c>
      <c r="C8" s="9" t="s">
        <v>5</v>
      </c>
      <c r="D8" s="9" t="s">
        <v>6</v>
      </c>
    </row>
    <row r="9" spans="2:8" ht="25.5" customHeight="1" x14ac:dyDescent="0.25">
      <c r="B9" s="9" t="s">
        <v>7</v>
      </c>
      <c r="C9" s="9" t="s">
        <v>8</v>
      </c>
      <c r="D9" s="9" t="s">
        <v>9</v>
      </c>
    </row>
    <row r="10" spans="2:8" ht="25.5" customHeight="1" x14ac:dyDescent="0.25">
      <c r="B10" s="9" t="s">
        <v>10</v>
      </c>
      <c r="C10" s="9" t="s">
        <v>11</v>
      </c>
      <c r="D10" s="9" t="s">
        <v>12</v>
      </c>
    </row>
    <row r="11" spans="2:8" ht="25.5" customHeight="1" x14ac:dyDescent="0.25">
      <c r="B11" s="9" t="s">
        <v>13</v>
      </c>
      <c r="C11" s="9" t="s">
        <v>14</v>
      </c>
      <c r="D11" s="9" t="s">
        <v>12</v>
      </c>
    </row>
    <row r="12" spans="2:8" ht="25.5" customHeight="1" x14ac:dyDescent="0.25">
      <c r="B12" s="9" t="s">
        <v>15</v>
      </c>
      <c r="C12" s="9" t="s">
        <v>16</v>
      </c>
      <c r="D12" s="9" t="s">
        <v>17</v>
      </c>
    </row>
    <row r="14" spans="2:8" ht="45" customHeight="1" x14ac:dyDescent="0.25">
      <c r="B14" s="5" t="s">
        <v>18</v>
      </c>
      <c r="C14" s="5"/>
      <c r="D14" s="5"/>
      <c r="E14" s="5"/>
      <c r="F14" s="5"/>
      <c r="G14" s="5"/>
      <c r="H14" s="5"/>
    </row>
  </sheetData>
  <mergeCells count="2">
    <mergeCell ref="B4:H4"/>
    <mergeCell ref="B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6"/>
  <sheetViews>
    <sheetView topLeftCell="A3" zoomScaleNormal="100" workbookViewId="0">
      <selection activeCell="B15" sqref="B15:E15"/>
    </sheetView>
  </sheetViews>
  <sheetFormatPr defaultColWidth="8.7109375" defaultRowHeight="15" x14ac:dyDescent="0.25"/>
  <cols>
    <col min="1" max="1" width="3" customWidth="1"/>
    <col min="2" max="2" width="32" customWidth="1"/>
    <col min="3" max="3" width="26" customWidth="1"/>
    <col min="4" max="4" width="20" customWidth="1"/>
    <col min="5" max="5" width="55" customWidth="1"/>
  </cols>
  <sheetData>
    <row r="2" spans="2:5" ht="18" customHeight="1" x14ac:dyDescent="0.25">
      <c r="B2" s="4" t="s">
        <v>19</v>
      </c>
      <c r="C2" s="4"/>
      <c r="D2" s="4"/>
      <c r="E2" s="4"/>
    </row>
    <row r="4" spans="2:5" ht="25.5" customHeight="1" x14ac:dyDescent="0.25">
      <c r="B4" s="10" t="s">
        <v>20</v>
      </c>
      <c r="C4" s="10" t="s">
        <v>21</v>
      </c>
      <c r="D4" s="10" t="s">
        <v>22</v>
      </c>
      <c r="E4" s="10" t="s">
        <v>23</v>
      </c>
    </row>
    <row r="5" spans="2:5" ht="24" customHeight="1" x14ac:dyDescent="0.25">
      <c r="B5" s="9" t="s">
        <v>24</v>
      </c>
      <c r="C5" s="9" t="s">
        <v>25</v>
      </c>
      <c r="D5" s="11">
        <v>0.2</v>
      </c>
      <c r="E5" s="12" t="s">
        <v>26</v>
      </c>
    </row>
    <row r="6" spans="2:5" ht="24" customHeight="1" x14ac:dyDescent="0.25">
      <c r="B6" s="9" t="s">
        <v>27</v>
      </c>
      <c r="C6" s="9" t="s">
        <v>25</v>
      </c>
      <c r="D6" s="11">
        <v>0</v>
      </c>
      <c r="E6" s="12" t="s">
        <v>28</v>
      </c>
    </row>
    <row r="7" spans="2:5" ht="15" customHeight="1" x14ac:dyDescent="0.25">
      <c r="B7" s="9" t="s">
        <v>29</v>
      </c>
      <c r="C7" s="9" t="s">
        <v>25</v>
      </c>
      <c r="D7" s="11">
        <v>5.5E-2</v>
      </c>
      <c r="E7" s="12" t="s">
        <v>30</v>
      </c>
    </row>
    <row r="8" spans="2:5" ht="15" customHeight="1" x14ac:dyDescent="0.25">
      <c r="B8" s="9" t="s">
        <v>31</v>
      </c>
      <c r="C8" s="9" t="s">
        <v>25</v>
      </c>
      <c r="D8" s="11">
        <v>0.08</v>
      </c>
      <c r="E8" s="12" t="s">
        <v>32</v>
      </c>
    </row>
    <row r="9" spans="2:5" ht="15" customHeight="1" x14ac:dyDescent="0.25">
      <c r="B9" s="9" t="s">
        <v>33</v>
      </c>
      <c r="C9" s="9" t="s">
        <v>25</v>
      </c>
      <c r="D9" s="11">
        <v>8.3299999999999999E-2</v>
      </c>
      <c r="E9" s="12" t="s">
        <v>34</v>
      </c>
    </row>
    <row r="10" spans="2:5" ht="15" customHeight="1" x14ac:dyDescent="0.25">
      <c r="B10" s="9" t="s">
        <v>35</v>
      </c>
      <c r="C10" s="9" t="s">
        <v>25</v>
      </c>
      <c r="D10" s="11">
        <v>4.9599999999999998E-2</v>
      </c>
      <c r="E10" s="12"/>
    </row>
    <row r="11" spans="2:5" ht="15" customHeight="1" x14ac:dyDescent="0.25">
      <c r="B11" s="9" t="s">
        <v>36</v>
      </c>
      <c r="C11" s="9" t="s">
        <v>25</v>
      </c>
      <c r="D11" s="11">
        <v>1.5599999999999999E-2</v>
      </c>
      <c r="E11" s="12"/>
    </row>
    <row r="12" spans="2:5" ht="15" customHeight="1" x14ac:dyDescent="0.25">
      <c r="B12" s="9" t="s">
        <v>37</v>
      </c>
      <c r="C12" s="9" t="s">
        <v>25</v>
      </c>
      <c r="D12" s="11">
        <v>0.1111</v>
      </c>
      <c r="E12" s="12" t="s">
        <v>38</v>
      </c>
    </row>
    <row r="13" spans="2:5" ht="15" customHeight="1" x14ac:dyDescent="0.25">
      <c r="B13" s="9" t="s">
        <v>39</v>
      </c>
      <c r="C13" s="9" t="s">
        <v>25</v>
      </c>
      <c r="D13" s="11">
        <v>0.04</v>
      </c>
      <c r="E13" s="12"/>
    </row>
    <row r="14" spans="2:5" ht="15" customHeight="1" x14ac:dyDescent="0.25">
      <c r="D14" s="13">
        <f>SUM(D5:D13)</f>
        <v>0.63460000000000005</v>
      </c>
    </row>
    <row r="15" spans="2:5" ht="45" customHeight="1" x14ac:dyDescent="0.25">
      <c r="B15" s="5" t="s">
        <v>40</v>
      </c>
      <c r="C15" s="5"/>
      <c r="D15" s="5"/>
      <c r="E15" s="5"/>
    </row>
    <row r="16" spans="2:5" ht="45" customHeight="1" x14ac:dyDescent="0.25">
      <c r="B16" s="3" t="s">
        <v>41</v>
      </c>
      <c r="C16" s="3"/>
      <c r="D16" s="3"/>
      <c r="E16" s="3"/>
    </row>
  </sheetData>
  <mergeCells count="3">
    <mergeCell ref="B2:E2"/>
    <mergeCell ref="B15:E15"/>
    <mergeCell ref="B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H13"/>
  <sheetViews>
    <sheetView showGridLines="0" zoomScaleNormal="100" workbookViewId="0">
      <selection activeCell="G5" sqref="G5:G7"/>
    </sheetView>
  </sheetViews>
  <sheetFormatPr defaultColWidth="20" defaultRowHeight="12.75" x14ac:dyDescent="0.2"/>
  <cols>
    <col min="1" max="1" width="3" style="14" customWidth="1"/>
    <col min="2" max="2" width="12" style="14" customWidth="1"/>
    <col min="3" max="3" width="11" style="14" customWidth="1"/>
    <col min="4" max="4" width="22" style="14" customWidth="1"/>
    <col min="5" max="5" width="12" style="14" bestFit="1" customWidth="1"/>
    <col min="6" max="6" width="29" style="14" bestFit="1" customWidth="1"/>
    <col min="7" max="7" width="14" style="14" customWidth="1"/>
    <col min="8" max="8" width="20.85546875" style="14" bestFit="1" customWidth="1"/>
    <col min="9" max="9" width="24.5703125" style="14" bestFit="1" customWidth="1"/>
    <col min="10" max="11" width="13" style="14" customWidth="1"/>
    <col min="12" max="12" width="12" style="14" customWidth="1"/>
    <col min="13" max="13" width="10" style="14" customWidth="1"/>
    <col min="14" max="14" width="12" style="14" customWidth="1"/>
    <col min="15" max="15" width="13.5703125" style="14" bestFit="1" customWidth="1"/>
    <col min="16" max="17" width="12" style="14" customWidth="1"/>
    <col min="18" max="18" width="17.85546875" style="14" customWidth="1"/>
    <col min="19" max="19" width="23.7109375" style="14" customWidth="1"/>
    <col min="20" max="20" width="18.28515625" style="14" customWidth="1"/>
    <col min="21" max="21" width="37.28515625" style="14" bestFit="1" customWidth="1"/>
    <col min="22" max="22" width="26.140625" style="14" customWidth="1"/>
    <col min="23" max="23" width="14.28515625" style="14" customWidth="1"/>
    <col min="24" max="24" width="14.5703125" style="14" customWidth="1"/>
    <col min="25" max="26" width="22.42578125" style="14" customWidth="1"/>
    <col min="27" max="27" width="27.85546875" style="14" bestFit="1" customWidth="1"/>
    <col min="28" max="28" width="27.5703125" style="14" bestFit="1" customWidth="1"/>
    <col min="29" max="29" width="22" style="14" customWidth="1"/>
    <col min="30" max="30" width="8.7109375" style="14" customWidth="1"/>
    <col min="31" max="31" width="24.42578125" style="14" customWidth="1"/>
    <col min="32" max="32" width="10.42578125" style="14" customWidth="1"/>
    <col min="33" max="16384" width="20" style="14"/>
  </cols>
  <sheetData>
    <row r="2" spans="2:34" ht="12.75" customHeight="1" x14ac:dyDescent="0.2">
      <c r="B2" s="15" t="s">
        <v>42</v>
      </c>
    </row>
    <row r="4" spans="2:34" ht="42" customHeight="1" x14ac:dyDescent="0.2">
      <c r="B4" s="16" t="s">
        <v>43</v>
      </c>
      <c r="C4" s="16" t="s">
        <v>44</v>
      </c>
      <c r="D4" s="16" t="s">
        <v>45</v>
      </c>
      <c r="E4" s="16" t="s">
        <v>46</v>
      </c>
      <c r="F4" s="16" t="s">
        <v>47</v>
      </c>
      <c r="G4" s="16" t="s">
        <v>48</v>
      </c>
      <c r="H4" s="16" t="s">
        <v>49</v>
      </c>
      <c r="I4" s="16" t="s">
        <v>50</v>
      </c>
      <c r="J4" s="16" t="s">
        <v>51</v>
      </c>
      <c r="K4" s="16" t="s">
        <v>52</v>
      </c>
      <c r="L4" s="16" t="s">
        <v>53</v>
      </c>
      <c r="M4" s="16" t="s">
        <v>54</v>
      </c>
      <c r="N4" s="16" t="s">
        <v>55</v>
      </c>
      <c r="O4" s="16" t="s">
        <v>56</v>
      </c>
      <c r="P4" s="16" t="s">
        <v>57</v>
      </c>
      <c r="Q4" s="16" t="s">
        <v>58</v>
      </c>
      <c r="R4" s="16" t="s">
        <v>59</v>
      </c>
      <c r="S4" s="16" t="s">
        <v>60</v>
      </c>
      <c r="T4" s="16" t="s">
        <v>61</v>
      </c>
      <c r="U4" s="16" t="s">
        <v>62</v>
      </c>
      <c r="V4" s="16" t="s">
        <v>63</v>
      </c>
      <c r="W4" s="16" t="s">
        <v>134</v>
      </c>
      <c r="X4" s="16" t="s">
        <v>135</v>
      </c>
      <c r="Y4" s="16" t="s">
        <v>136</v>
      </c>
      <c r="Z4" s="16" t="s">
        <v>137</v>
      </c>
      <c r="AA4" s="16" t="s">
        <v>64</v>
      </c>
      <c r="AB4" s="16" t="s">
        <v>65</v>
      </c>
      <c r="AC4" s="16" t="s">
        <v>66</v>
      </c>
      <c r="AE4" s="17" t="s">
        <v>67</v>
      </c>
      <c r="AF4" s="18"/>
      <c r="AG4" s="19" t="s">
        <v>68</v>
      </c>
      <c r="AH4" s="19" t="s">
        <v>69</v>
      </c>
    </row>
    <row r="5" spans="2:34" ht="13.5" customHeight="1" x14ac:dyDescent="0.25">
      <c r="B5" s="20">
        <v>13</v>
      </c>
      <c r="C5" s="20">
        <v>1</v>
      </c>
      <c r="D5" s="20" t="s">
        <v>70</v>
      </c>
      <c r="E5" s="20">
        <v>11010404087</v>
      </c>
      <c r="F5" s="20" t="s">
        <v>71</v>
      </c>
      <c r="G5" s="38">
        <v>13000000001</v>
      </c>
      <c r="H5" s="20" t="s">
        <v>72</v>
      </c>
      <c r="I5" s="20" t="s">
        <v>73</v>
      </c>
      <c r="J5" s="37">
        <v>43892</v>
      </c>
      <c r="K5" s="20">
        <f ca="1">DATEDIF(J5,TODAY(),"y")</f>
        <v>6</v>
      </c>
      <c r="L5" s="21">
        <v>3200</v>
      </c>
      <c r="M5" s="22">
        <f>MIN(INT(DATEDIF($J5,$AF$7,"y")/3),$AF$6)*$AF$5</f>
        <v>0.06</v>
      </c>
      <c r="N5" s="21">
        <f>L5*M5</f>
        <v>192</v>
      </c>
      <c r="O5" s="23">
        <v>0</v>
      </c>
      <c r="P5" s="21">
        <v>0</v>
      </c>
      <c r="Q5" s="21">
        <v>0</v>
      </c>
      <c r="R5" s="24">
        <v>0</v>
      </c>
      <c r="S5" s="24">
        <v>0</v>
      </c>
      <c r="T5" s="24">
        <v>0</v>
      </c>
      <c r="U5" s="20"/>
      <c r="V5" s="20"/>
      <c r="W5" s="20"/>
      <c r="X5" s="20"/>
      <c r="Y5" s="20"/>
      <c r="Z5" s="20"/>
      <c r="AA5" s="20" t="s">
        <v>74</v>
      </c>
      <c r="AB5" s="20" t="s">
        <v>75</v>
      </c>
      <c r="AC5" s="20" t="s">
        <v>76</v>
      </c>
      <c r="AE5" s="14" t="s">
        <v>77</v>
      </c>
      <c r="AF5" s="25">
        <v>0.03</v>
      </c>
      <c r="AG5" s="26">
        <f>IF(R5=1,SALARIO_MINIMO*PCT_INSALUBRIDADE,0)</f>
        <v>0</v>
      </c>
      <c r="AH5" s="26">
        <f>IF(S5=1,L5*PCT_PERICULOSIDADE,0)</f>
        <v>0</v>
      </c>
    </row>
    <row r="6" spans="2:34" ht="13.5" customHeight="1" x14ac:dyDescent="0.25">
      <c r="B6" s="20">
        <v>13</v>
      </c>
      <c r="C6" s="20">
        <v>1</v>
      </c>
      <c r="D6" s="20" t="s">
        <v>70</v>
      </c>
      <c r="E6" s="20">
        <v>11010404087</v>
      </c>
      <c r="F6" s="20" t="s">
        <v>71</v>
      </c>
      <c r="G6" s="38">
        <v>13000000002</v>
      </c>
      <c r="H6" s="20" t="s">
        <v>78</v>
      </c>
      <c r="I6" s="20" t="s">
        <v>79</v>
      </c>
      <c r="J6" s="37">
        <v>41105</v>
      </c>
      <c r="K6" s="20">
        <f ca="1">DATEDIF(J6,TODAY(),"y")</f>
        <v>14</v>
      </c>
      <c r="L6" s="21">
        <v>1625.73</v>
      </c>
      <c r="M6" s="22">
        <f>MIN(INT(DATEDIF($J6,$AF$7,"y")/3),$AF$6)*$AF$5</f>
        <v>0.15</v>
      </c>
      <c r="N6" s="21">
        <f>L6*M6</f>
        <v>243.8595</v>
      </c>
      <c r="O6" s="23">
        <v>0</v>
      </c>
      <c r="P6" s="21">
        <v>0</v>
      </c>
      <c r="Q6" s="21">
        <v>0</v>
      </c>
      <c r="R6" s="24">
        <v>1</v>
      </c>
      <c r="S6" s="24">
        <v>0</v>
      </c>
      <c r="T6" s="24">
        <v>0</v>
      </c>
      <c r="U6" s="20" t="s">
        <v>80</v>
      </c>
      <c r="V6" s="20"/>
      <c r="W6" s="20"/>
      <c r="X6" s="20"/>
      <c r="Y6" s="20"/>
      <c r="Z6" s="20"/>
      <c r="AA6" s="20" t="s">
        <v>74</v>
      </c>
      <c r="AB6" s="20" t="s">
        <v>75</v>
      </c>
      <c r="AC6" s="20" t="s">
        <v>76</v>
      </c>
      <c r="AE6" s="14" t="s">
        <v>81</v>
      </c>
      <c r="AF6" s="27">
        <v>7</v>
      </c>
      <c r="AG6" s="26">
        <f>IF(R6=1,SALARIO_MINIMO*PCT_INSALUBRIDADE,0)</f>
        <v>648.40000000000009</v>
      </c>
      <c r="AH6" s="26">
        <f>IF(S6=1,L6*PCT_PERICULOSIDADE,0)</f>
        <v>0</v>
      </c>
    </row>
    <row r="7" spans="2:34" ht="13.5" customHeight="1" x14ac:dyDescent="0.25">
      <c r="B7" s="20">
        <v>13</v>
      </c>
      <c r="C7" s="20">
        <v>1</v>
      </c>
      <c r="D7" s="20" t="s">
        <v>70</v>
      </c>
      <c r="E7" s="20">
        <v>21010404011</v>
      </c>
      <c r="F7" s="20" t="s">
        <v>82</v>
      </c>
      <c r="G7" s="38">
        <v>13000000003</v>
      </c>
      <c r="H7" s="20" t="s">
        <v>83</v>
      </c>
      <c r="I7" s="20" t="s">
        <v>84</v>
      </c>
      <c r="J7" s="37">
        <v>43222</v>
      </c>
      <c r="K7" s="20">
        <f ca="1">DATEDIF(J7,TODAY(),"y")</f>
        <v>8</v>
      </c>
      <c r="L7" s="21">
        <v>4401.7299999999996</v>
      </c>
      <c r="M7" s="22">
        <f>MIN(INT(DATEDIF($J7,$AF$7,"y")/3),$AF$6)*$AF$5</f>
        <v>0.09</v>
      </c>
      <c r="N7" s="21">
        <f>L7*M7</f>
        <v>396.15569999999997</v>
      </c>
      <c r="O7" s="23">
        <v>0</v>
      </c>
      <c r="P7" s="21">
        <v>0</v>
      </c>
      <c r="Q7" s="21">
        <v>0</v>
      </c>
      <c r="R7" s="24">
        <v>0</v>
      </c>
      <c r="S7" s="24">
        <v>1</v>
      </c>
      <c r="T7" s="24">
        <v>0</v>
      </c>
      <c r="U7" s="20" t="s">
        <v>85</v>
      </c>
      <c r="V7" s="20"/>
      <c r="W7" s="20"/>
      <c r="X7" s="20"/>
      <c r="Y7" s="20"/>
      <c r="Z7" s="20"/>
      <c r="AA7" s="20" t="s">
        <v>86</v>
      </c>
      <c r="AB7" s="20" t="s">
        <v>75</v>
      </c>
      <c r="AC7" s="20" t="s">
        <v>76</v>
      </c>
      <c r="AE7" s="14" t="s">
        <v>87</v>
      </c>
      <c r="AF7" s="28">
        <v>46752</v>
      </c>
      <c r="AG7" s="26">
        <f>IF(R7=1,SALARIO_MINIMO*PCT_INSALUBRIDADE,0)</f>
        <v>0</v>
      </c>
      <c r="AH7" s="26">
        <f>IF(S7=1,L7*PCT_PERICULOSIDADE,0)</f>
        <v>1320.5189999999998</v>
      </c>
    </row>
    <row r="8" spans="2:34" ht="14.25" x14ac:dyDescent="0.2">
      <c r="AE8" s="14" t="s">
        <v>88</v>
      </c>
      <c r="AF8" s="29">
        <v>1621</v>
      </c>
    </row>
    <row r="9" spans="2:34" ht="60" customHeight="1" x14ac:dyDescent="0.25">
      <c r="B9" s="5" t="s">
        <v>89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AE9" s="14" t="s">
        <v>90</v>
      </c>
      <c r="AF9" s="30">
        <v>0.4</v>
      </c>
    </row>
    <row r="10" spans="2:34" ht="15" x14ac:dyDescent="0.25">
      <c r="AE10" s="14" t="s">
        <v>91</v>
      </c>
      <c r="AF10" s="30">
        <v>0.3</v>
      </c>
    </row>
    <row r="11" spans="2:34" ht="45" customHeight="1" x14ac:dyDescent="0.2">
      <c r="B11" s="2" t="s">
        <v>92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3" spans="2:34" ht="45" customHeight="1" x14ac:dyDescent="0.2">
      <c r="B13" s="2" t="s">
        <v>93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</sheetData>
  <mergeCells count="3">
    <mergeCell ref="B9:M9"/>
    <mergeCell ref="B11:M11"/>
    <mergeCell ref="B13:M13"/>
  </mergeCells>
  <dataValidations count="1">
    <dataValidation type="list" allowBlank="1" sqref="R5:T7" xr:uid="{00000000-0002-0000-0200-000000000000}">
      <formula1>"0,1"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9"/>
  <sheetViews>
    <sheetView zoomScaleNormal="100" workbookViewId="0">
      <selection activeCell="M7" sqref="M7"/>
    </sheetView>
  </sheetViews>
  <sheetFormatPr defaultColWidth="8.7109375" defaultRowHeight="15" x14ac:dyDescent="0.25"/>
  <cols>
    <col min="1" max="1" width="3" customWidth="1"/>
    <col min="2" max="2" width="16" customWidth="1"/>
    <col min="3" max="3" width="24.7109375" bestFit="1" customWidth="1"/>
    <col min="4" max="4" width="30.140625" bestFit="1" customWidth="1"/>
    <col min="5" max="5" width="12" customWidth="1"/>
    <col min="6" max="6" width="32.5703125" bestFit="1" customWidth="1"/>
    <col min="7" max="7" width="16" customWidth="1"/>
    <col min="8" max="8" width="24" customWidth="1"/>
    <col min="9" max="9" width="16" customWidth="1"/>
    <col min="10" max="10" width="14" customWidth="1"/>
    <col min="11" max="11" width="18" customWidth="1"/>
    <col min="12" max="12" width="14" customWidth="1"/>
    <col min="13" max="13" width="15.28515625" bestFit="1" customWidth="1"/>
    <col min="14" max="14" width="36.5703125" bestFit="1" customWidth="1"/>
  </cols>
  <sheetData>
    <row r="2" spans="2:14" ht="18" customHeight="1" x14ac:dyDescent="0.25">
      <c r="B2" s="7" t="s">
        <v>94</v>
      </c>
    </row>
    <row r="4" spans="2:14" ht="30" customHeight="1" x14ac:dyDescent="0.25">
      <c r="B4" s="1" t="s">
        <v>95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 spans="2:14" ht="42" customHeight="1" x14ac:dyDescent="0.25">
      <c r="B6" s="10" t="s">
        <v>48</v>
      </c>
      <c r="C6" s="10" t="s">
        <v>96</v>
      </c>
      <c r="D6" s="10" t="s">
        <v>97</v>
      </c>
      <c r="E6" s="10" t="s">
        <v>98</v>
      </c>
      <c r="F6" s="10" t="s">
        <v>99</v>
      </c>
      <c r="G6" s="10" t="s">
        <v>100</v>
      </c>
      <c r="H6" s="10" t="s">
        <v>101</v>
      </c>
      <c r="I6" s="10" t="s">
        <v>102</v>
      </c>
      <c r="J6" s="10" t="s">
        <v>103</v>
      </c>
      <c r="K6" s="10" t="s">
        <v>104</v>
      </c>
      <c r="L6" s="10" t="s">
        <v>105</v>
      </c>
      <c r="M6" s="10" t="s">
        <v>106</v>
      </c>
      <c r="N6" s="10" t="s">
        <v>107</v>
      </c>
    </row>
    <row r="7" spans="2:14" ht="15" customHeight="1" x14ac:dyDescent="0.25">
      <c r="B7" s="31">
        <v>13000000003</v>
      </c>
      <c r="C7" s="32" t="str">
        <f>IFERROR(INDEX(HeadCount!$H$5:$H$9999,MATCH($B7,HeadCount!$G$5:$G$9999,0)),"")</f>
        <v>[Exemplo] Colaborador C</v>
      </c>
      <c r="D7" s="32" t="str">
        <f>IFERROR(INDEX(HeadCount!$D$5:$D$9999,MATCH($B7,HeadCount!$G$5:$G$9999,0)),"")</f>
        <v>CAMPUS EXEMPLO - MATRIZ</v>
      </c>
      <c r="E7" s="32" t="str">
        <f>IFERROR(INDEX(HeadCount!$F$5:$F$9999,MATCH($B7,HeadCount!$G$5:$G$9999,0)),"")</f>
        <v>EXEMPLO - SEGURANÇA E PORTARIA</v>
      </c>
      <c r="F7" s="32" t="str">
        <f>IFERROR(INDEX(HeadCount!$I$5:$I$9999,MATCH($B7,HeadCount!$G$5:$G$9999,0)),"")</f>
        <v>SUPERVISOR DE SEGURANÇA</v>
      </c>
      <c r="G7" s="33">
        <f>IFERROR(INDEX(HeadCount!$L$5:$L$9999,MATCH($B7,HeadCount!$G$5:$G$9999,0)),"")</f>
        <v>4401.7299999999996</v>
      </c>
      <c r="H7" s="31" t="s">
        <v>138</v>
      </c>
      <c r="I7" s="23">
        <v>5280</v>
      </c>
      <c r="J7" s="34">
        <f>IFERROR((I7/G7)-1,"")</f>
        <v>0.19952836725560186</v>
      </c>
      <c r="K7" s="35">
        <f>IFERROR((I7-G7)*TOTAL_ENCARGOS_PCT,"")</f>
        <v>557.35014200000035</v>
      </c>
      <c r="L7" s="31" t="s">
        <v>108</v>
      </c>
      <c r="M7" s="31" t="s">
        <v>109</v>
      </c>
      <c r="N7" s="31" t="s">
        <v>110</v>
      </c>
    </row>
    <row r="9" spans="2:14" ht="45" customHeight="1" x14ac:dyDescent="0.25">
      <c r="B9" s="5" t="s">
        <v>111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mergeCells count="2">
    <mergeCell ref="B4:M4"/>
    <mergeCell ref="B9:M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7"/>
  <sheetViews>
    <sheetView topLeftCell="D1" zoomScaleNormal="100" workbookViewId="0">
      <selection activeCell="B7" sqref="B7"/>
    </sheetView>
  </sheetViews>
  <sheetFormatPr defaultColWidth="8.7109375" defaultRowHeight="15" x14ac:dyDescent="0.25"/>
  <cols>
    <col min="1" max="1" width="3" customWidth="1"/>
    <col min="2" max="2" width="16" customWidth="1"/>
    <col min="3" max="3" width="22" customWidth="1"/>
    <col min="4" max="4" width="20" customWidth="1"/>
    <col min="5" max="5" width="12" customWidth="1"/>
    <col min="6" max="6" width="22" customWidth="1"/>
    <col min="7" max="8" width="16" customWidth="1"/>
    <col min="9" max="9" width="14" customWidth="1"/>
    <col min="10" max="10" width="18" customWidth="1"/>
    <col min="11" max="11" width="14" customWidth="1"/>
    <col min="12" max="12" width="16" customWidth="1"/>
    <col min="13" max="13" width="32" customWidth="1"/>
  </cols>
  <sheetData>
    <row r="2" spans="2:13" ht="18" customHeight="1" x14ac:dyDescent="0.25">
      <c r="B2" s="7" t="s">
        <v>112</v>
      </c>
    </row>
    <row r="4" spans="2:13" ht="30" customHeight="1" x14ac:dyDescent="0.25">
      <c r="B4" s="1" t="s">
        <v>113</v>
      </c>
      <c r="C4" s="1"/>
      <c r="D4" s="1"/>
      <c r="E4" s="1"/>
      <c r="F4" s="1"/>
      <c r="G4" s="1"/>
      <c r="H4" s="1"/>
      <c r="I4" s="1"/>
      <c r="J4" s="1"/>
      <c r="K4" s="1"/>
      <c r="L4" s="1"/>
    </row>
    <row r="6" spans="2:13" ht="42" customHeight="1" x14ac:dyDescent="0.25">
      <c r="B6" s="10" t="s">
        <v>48</v>
      </c>
      <c r="C6" s="10" t="s">
        <v>96</v>
      </c>
      <c r="D6" s="10" t="s">
        <v>97</v>
      </c>
      <c r="E6" s="10" t="s">
        <v>98</v>
      </c>
      <c r="F6" s="10" t="s">
        <v>114</v>
      </c>
      <c r="G6" s="10" t="s">
        <v>100</v>
      </c>
      <c r="H6" s="10" t="s">
        <v>102</v>
      </c>
      <c r="I6" s="10" t="s">
        <v>103</v>
      </c>
      <c r="J6" s="10" t="s">
        <v>104</v>
      </c>
      <c r="K6" s="10" t="s">
        <v>105</v>
      </c>
      <c r="L6" s="10" t="s">
        <v>106</v>
      </c>
      <c r="M6" s="10" t="s">
        <v>107</v>
      </c>
    </row>
    <row r="7" spans="2:13" ht="15" customHeight="1" x14ac:dyDescent="0.25">
      <c r="B7" s="39">
        <v>13000000003</v>
      </c>
      <c r="C7" s="32" t="str">
        <f>IFERROR(INDEX(HeadCount!$H$5:$H$9999,MATCH($B7,HeadCount!$G$5:$G$9999,0)),"")</f>
        <v>[Exemplo] Colaborador C</v>
      </c>
      <c r="D7" s="32" t="str">
        <f>IFERROR(INDEX(HeadCount!$D$5:$D$9999,MATCH($B7,HeadCount!$G$5:$G$9999,0)),"")</f>
        <v>CAMPUS EXEMPLO - MATRIZ</v>
      </c>
      <c r="E7" s="32" t="str">
        <f>IFERROR(INDEX(HeadCount!$F$5:$F$9999,MATCH($B7,HeadCount!$G$5:$G$9999,0)),"")</f>
        <v>EXEMPLO - SEGURANÇA E PORTARIA</v>
      </c>
      <c r="F7" s="32" t="str">
        <f>IFERROR(INDEX(HeadCount!$I$5:$I$9999,MATCH($B7,HeadCount!$G$5:$G$9999,0)),"")</f>
        <v>SUPERVISOR DE SEGURANÇA</v>
      </c>
      <c r="G7" s="33">
        <f>IFERROR(INDEX(HeadCount!$L$5:$L$9999,MATCH($B7,HeadCount!$G$5:$G$9999,0)),"")</f>
        <v>4401.7299999999996</v>
      </c>
      <c r="H7" s="23">
        <v>4650</v>
      </c>
      <c r="I7" s="34">
        <f>IFERROR((H7/G7)-1,"")</f>
        <v>5.6402823435331317E-2</v>
      </c>
      <c r="J7" s="35">
        <f>IFERROR((H7-G7)*TOTAL_ENCARGOS_PCT,"")</f>
        <v>157.55214200000029</v>
      </c>
      <c r="K7" s="31" t="s">
        <v>115</v>
      </c>
      <c r="L7" s="31" t="s">
        <v>109</v>
      </c>
      <c r="M7" s="31" t="s">
        <v>116</v>
      </c>
    </row>
  </sheetData>
  <mergeCells count="1">
    <mergeCell ref="B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O9"/>
  <sheetViews>
    <sheetView tabSelected="1" zoomScaleNormal="100" workbookViewId="0"/>
  </sheetViews>
  <sheetFormatPr defaultColWidth="8.7109375" defaultRowHeight="15" x14ac:dyDescent="0.25"/>
  <cols>
    <col min="1" max="1" width="3" customWidth="1"/>
    <col min="2" max="2" width="10" customWidth="1"/>
    <col min="3" max="3" width="24" customWidth="1"/>
    <col min="4" max="4" width="12" customWidth="1"/>
    <col min="5" max="5" width="26" customWidth="1"/>
    <col min="6" max="6" width="22" customWidth="1"/>
    <col min="7" max="7" width="26" customWidth="1"/>
    <col min="8" max="8" width="14" customWidth="1"/>
    <col min="9" max="9" width="11" customWidth="1"/>
    <col min="10" max="11" width="16" customWidth="1"/>
    <col min="12" max="12" width="14" customWidth="1"/>
    <col min="13" max="13" width="18" customWidth="1"/>
    <col min="14" max="14" width="16" customWidth="1"/>
    <col min="15" max="15" width="36" customWidth="1"/>
  </cols>
  <sheetData>
    <row r="2" spans="2:15" ht="18" customHeight="1" x14ac:dyDescent="0.25">
      <c r="B2" s="7" t="s">
        <v>117</v>
      </c>
    </row>
    <row r="4" spans="2:15" ht="30" customHeight="1" x14ac:dyDescent="0.25">
      <c r="B4" s="1" t="s">
        <v>118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6" spans="2:15" ht="42" customHeight="1" x14ac:dyDescent="0.25">
      <c r="B6" s="10" t="s">
        <v>43</v>
      </c>
      <c r="C6" s="10" t="s">
        <v>45</v>
      </c>
      <c r="D6" s="10" t="s">
        <v>119</v>
      </c>
      <c r="E6" s="10" t="s">
        <v>47</v>
      </c>
      <c r="F6" s="10" t="s">
        <v>120</v>
      </c>
      <c r="G6" s="10" t="s">
        <v>121</v>
      </c>
      <c r="H6" s="10" t="s">
        <v>122</v>
      </c>
      <c r="I6" s="10" t="s">
        <v>123</v>
      </c>
      <c r="J6" s="10" t="s">
        <v>124</v>
      </c>
      <c r="K6" s="10" t="s">
        <v>125</v>
      </c>
      <c r="L6" s="10" t="s">
        <v>126</v>
      </c>
      <c r="M6" s="10" t="s">
        <v>127</v>
      </c>
      <c r="N6" s="10" t="s">
        <v>128</v>
      </c>
      <c r="O6" s="10" t="s">
        <v>107</v>
      </c>
    </row>
    <row r="7" spans="2:15" ht="15" customHeight="1" x14ac:dyDescent="0.25">
      <c r="B7" s="31">
        <v>13</v>
      </c>
      <c r="C7" s="31" t="s">
        <v>70</v>
      </c>
      <c r="D7" s="31">
        <v>11010404087</v>
      </c>
      <c r="E7" s="31" t="s">
        <v>71</v>
      </c>
      <c r="F7" s="31" t="s">
        <v>129</v>
      </c>
      <c r="G7" s="31" t="s">
        <v>74</v>
      </c>
      <c r="H7" s="31" t="s">
        <v>130</v>
      </c>
      <c r="I7" s="31">
        <v>1</v>
      </c>
      <c r="J7" s="31">
        <v>2100</v>
      </c>
      <c r="K7" s="31">
        <v>0</v>
      </c>
      <c r="L7" s="31">
        <v>0</v>
      </c>
      <c r="M7" s="36">
        <f>(J7+L7)*(1+TOTAL_ENCARGOS_PCT)</f>
        <v>3432.6600000000003</v>
      </c>
      <c r="N7" s="31" t="s">
        <v>109</v>
      </c>
      <c r="O7" s="31" t="s">
        <v>131</v>
      </c>
    </row>
    <row r="9" spans="2:15" ht="45" customHeight="1" x14ac:dyDescent="0.25">
      <c r="B9" s="5" t="s">
        <v>132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</sheetData>
  <mergeCells count="2">
    <mergeCell ref="B4:N4"/>
    <mergeCell ref="B9:N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Instruções</vt:lpstr>
      <vt:lpstr>Parâmetros Encargos</vt:lpstr>
      <vt:lpstr>HeadCount</vt:lpstr>
      <vt:lpstr>Promoções</vt:lpstr>
      <vt:lpstr>Adequações Salariais</vt:lpstr>
      <vt:lpstr>Aumento de Quadro</vt:lpstr>
      <vt:lpstr>PCT_INSALUBRIDADE</vt:lpstr>
      <vt:lpstr>PCT_PERICULOSIDADE</vt:lpstr>
      <vt:lpstr>SALARIO_MINIMO</vt:lpstr>
      <vt:lpstr>TOTAL_ENCARGOS_PCT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Anderson Munhoz Madeira</cp:lastModifiedBy>
  <cp:revision>0</cp:revision>
  <dcterms:created xsi:type="dcterms:W3CDTF">2026-08-03T21:30:37Z</dcterms:created>
  <dcterms:modified xsi:type="dcterms:W3CDTF">2026-08-20T19:37:41Z</dcterms:modified>
  <dc:language>en-US</dc:language>
</cp:coreProperties>
</file>